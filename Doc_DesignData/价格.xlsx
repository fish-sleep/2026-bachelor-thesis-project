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ZLXWY\Desktop\价格\"/>
    </mc:Choice>
  </mc:AlternateContent>
  <xr:revisionPtr revIDLastSave="0" documentId="13_ncr:1_{543C65D3-5360-463E-8AD0-2F90A65FFAEA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汇总" sheetId="1" r:id="rId1"/>
    <sheet name="PCB物料" sheetId="2" r:id="rId2"/>
    <sheet name="象棋制作物料" sheetId="3" r:id="rId3"/>
    <sheet name="控制器" sheetId="4" r:id="rId4"/>
    <sheet name="运动" sheetId="5" r:id="rId5"/>
    <sheet name="视觉" sheetId="6" r:id="rId6"/>
    <sheet name="接线" sheetId="7" r:id="rId7"/>
    <sheet name="通信" sheetId="8" r:id="rId8"/>
    <sheet name="框架" sheetId="9" r:id="rId9"/>
    <sheet name="灯源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B11" i="1"/>
  <c r="C10" i="1"/>
  <c r="C9" i="1"/>
  <c r="C8" i="1"/>
  <c r="C6" i="1"/>
  <c r="C5" i="1"/>
  <c r="C4" i="1"/>
  <c r="C3" i="1"/>
  <c r="C2" i="1"/>
  <c r="C11" i="1" l="1"/>
</calcChain>
</file>

<file path=xl/sharedStrings.xml><?xml version="1.0" encoding="utf-8"?>
<sst xmlns="http://schemas.openxmlformats.org/spreadsheetml/2006/main" count="308" uniqueCount="155">
  <si>
    <t>分类</t>
  </si>
  <si>
    <t>物品数量</t>
  </si>
  <si>
    <t>总金额(元)</t>
  </si>
  <si>
    <t>PCB物料</t>
  </si>
  <si>
    <t>象棋制作物料</t>
  </si>
  <si>
    <t>控制器</t>
  </si>
  <si>
    <t>运动</t>
  </si>
  <si>
    <t>视觉</t>
  </si>
  <si>
    <t>接线</t>
  </si>
  <si>
    <t>通信</t>
  </si>
  <si>
    <t>框架</t>
  </si>
  <si>
    <t>灯源</t>
  </si>
  <si>
    <t>总计</t>
  </si>
  <si>
    <t>平台</t>
  </si>
  <si>
    <t>店铺</t>
  </si>
  <si>
    <t>物件</t>
  </si>
  <si>
    <t>数量</t>
  </si>
  <si>
    <t>单价(元)</t>
  </si>
  <si>
    <t>总付款(元)</t>
  </si>
  <si>
    <t>链接</t>
  </si>
  <si>
    <t>淘宝</t>
  </si>
  <si>
    <t>科讯达数码专配店</t>
  </si>
  <si>
    <t>12V10A电源适配器</t>
  </si>
  <si>
    <t>https://item.taobao.com/item.htm?id=708135618778&amp;skuId=5980676298476</t>
  </si>
  <si>
    <t>telesky旗舰店</t>
  </si>
  <si>
    <t>LM2596S_5V_稳压模块</t>
  </si>
  <si>
    <t>https://detail.tmall.com/item.htm?id=41307963557&amp;skuId=5352660439882</t>
  </si>
  <si>
    <t>深圳市优信电子科技有限公司</t>
  </si>
  <si>
    <t>XH2.54_10P_直针插座(10个装)</t>
  </si>
  <si>
    <t>https://item.taobao.com/item.htm?id=522555535449&amp;skuId=5777387544677</t>
  </si>
  <si>
    <t>XH2.54_10P_插头胶壳(10个装)</t>
  </si>
  <si>
    <t>https://item.taobao.com/item.htm?id=522555535449&amp;skuId=5777387544705</t>
  </si>
  <si>
    <t>XH2.54_4P_直针插座(10个装)</t>
  </si>
  <si>
    <t>https://item.taobao.com/item.htm?id=522555535449&amp;skuId=5777387544671</t>
  </si>
  <si>
    <t>XH2.54_4P_插头胶壳(10个装)</t>
  </si>
  <si>
    <t>https://item.taobao.com/item.htm?id=522555535449&amp;skuId=5777387544699</t>
  </si>
  <si>
    <t>XH2.54_3P_直针插座(10个装)</t>
  </si>
  <si>
    <t>https://item.taobao.com/item.htm?id=522555535449&amp;skuId=5777387544670</t>
  </si>
  <si>
    <t>XH2.54_3P_插头胶壳(10个装)</t>
  </si>
  <si>
    <t>https://item.taobao.com/item.htm?id=522555535449&amp;skuId=5777387544698</t>
  </si>
  <si>
    <t>XH2.54_2P_直针插座(10个装)</t>
  </si>
  <si>
    <t>https://item.taobao.com/item.htm?id=522555535449&amp;skuId=5777387544669</t>
  </si>
  <si>
    <t>XH2.54_2P_插头胶壳(10个装)</t>
  </si>
  <si>
    <t>https://item.taobao.com/item.htm?id=522555535449&amp;skuId=5777387544697</t>
  </si>
  <si>
    <t>π122U31电平隔离芯片</t>
  </si>
  <si>
    <t>https://item.taobao.com/item.htm?id=713359542163</t>
  </si>
  <si>
    <t>UWM-817C-S光耦合器芯片</t>
  </si>
  <si>
    <t>https://item.taobao.com/item.htm?id=654107995926</t>
  </si>
  <si>
    <t>M7通用二极管(10个装)</t>
  </si>
  <si>
    <t>https://item.taobao.com/item.htm?id=545440281632</t>
  </si>
  <si>
    <t>0805贴片电阻10kΩ(50个装)</t>
  </si>
  <si>
    <t>https://item.taobao.com/item.htm?id=526088038633&amp;skuId=5870421994599</t>
  </si>
  <si>
    <t>0805贴片电阻4.7kΩ(50个装)</t>
  </si>
  <si>
    <t>https://item.taobao.com/item.htm?id=526088038633&amp;skuId=5870421994575</t>
  </si>
  <si>
    <t>0805贴片LED黄色(10个装)</t>
  </si>
  <si>
    <t>https://item.taobao.com/item.htm?id=570459797098&amp;skuId=5935337974485</t>
  </si>
  <si>
    <t>0805贴片LED翠绿色(10个装)</t>
  </si>
  <si>
    <t>https://item.taobao.com/item.htm?id=570459797098&amp;skuId=5935337974486</t>
  </si>
  <si>
    <t>0805贴片LED蓝色(10个装)</t>
  </si>
  <si>
    <t>https://item.taobao.com/item.htm?id=570459797098&amp;skuId=5935337974484</t>
  </si>
  <si>
    <t>SS12D06G5_3脚2档_弯插拨动开关(5个装)</t>
  </si>
  <si>
    <t>https://item.taobao.com/item.htm?id=568771505825&amp;skuId=6130758858580</t>
  </si>
  <si>
    <t>DC005_DC5525_耐高温插座</t>
  </si>
  <si>
    <t>https://item.taobao.com/item.htm?id=556796729366&amp;skuId=6130630902911</t>
  </si>
  <si>
    <t>深圳市宏宇通电子商行</t>
  </si>
  <si>
    <t>2EDGK型接头_2P开口式弯针插座+2P插头</t>
  </si>
  <si>
    <t>https://item.taobao.com/item.htm?id=589242587984&amp;skuId=4021244136536</t>
  </si>
  <si>
    <t>嘉立创</t>
  </si>
  <si>
    <t>嘉立创3D打印</t>
  </si>
  <si>
    <t>棋子模型_材质LEDO白色_粗磨(50件)</t>
  </si>
  <si>
    <t>https://www.jlc-3dp.cn/placeOrder?spm=3D.Homepage.icon1.1001</t>
  </si>
  <si>
    <t>中钢金属物资</t>
  </si>
  <si>
    <t>圆柱形铁饼_直径18mm_高6mm(64件)</t>
  </si>
  <si>
    <t>https://shop596005788.taobao.com/</t>
  </si>
  <si>
    <t>闲鱼</t>
  </si>
  <si>
    <t>乐逸印务</t>
  </si>
  <si>
    <t>棋子贴纸_整张A3纸打印</t>
  </si>
  <si>
    <t>https://www.goofish.com/item?id=996490925570</t>
  </si>
  <si>
    <t>星星舟旗舰店</t>
  </si>
  <si>
    <t>大号中国象棋棋盘</t>
  </si>
  <si>
    <t>https://detail.tmall.com/item.htm?id=853560984174&amp;skuId=6202772638395</t>
  </si>
  <si>
    <t>轮趣科技</t>
  </si>
  <si>
    <t>Linux板卡_RDKX5</t>
  </si>
  <si>
    <t>https://item.taobao.com/item.htm?id=676436236906&amp;sku_properties=1627207%3A35383862860</t>
  </si>
  <si>
    <t>桔恩迪电子</t>
  </si>
  <si>
    <t>STM32F407ZGT6核心板</t>
  </si>
  <si>
    <t>https://item.taobao.com/item.htm?id=767987284614&amp;skuId=5296354469371</t>
  </si>
  <si>
    <t>3.2寸TFT显示屏</t>
  </si>
  <si>
    <t>https://item.taobao.com/item.htm?id=811245556140&amp;skuId=5674466479002</t>
  </si>
  <si>
    <t>亿星科技步进伺服控制系统厂家</t>
  </si>
  <si>
    <t>42步进电机</t>
  </si>
  <si>
    <t>https://item.taobao.com/item.htm?id=45176939892&amp;skuId=4820009917609</t>
  </si>
  <si>
    <t>28步进电机</t>
  </si>
  <si>
    <t>https://item.taobao.com/item.htm?id=770017789135&amp;skuId=5478339413663</t>
  </si>
  <si>
    <t>步进电机驱动器TB6600</t>
  </si>
  <si>
    <t>https://item.taobao.com/item.htm?id=45257012832&amp;skuId=4473671716068</t>
  </si>
  <si>
    <t>风顺散热风扇</t>
  </si>
  <si>
    <t>12V散热扇</t>
  </si>
  <si>
    <t>https://item.taobao.com/item.htm?id=582585891952&amp;skuId=3903184540519</t>
  </si>
  <si>
    <t>恒运电磁铁制造商</t>
  </si>
  <si>
    <t>12V电磁铁</t>
  </si>
  <si>
    <t>https://item.taobao.com/item.htm?id=639903956109&amp;skuId=4601479117245</t>
  </si>
  <si>
    <t>深圳权芯发电子网店 一站配套</t>
  </si>
  <si>
    <t>L298N芯片+H型散热片</t>
  </si>
  <si>
    <t>https://item.taobao.com/item.htm?id=650714392966&amp;skuId=4713871520670</t>
  </si>
  <si>
    <t>东菱工控</t>
  </si>
  <si>
    <t>U型槽型光电开关</t>
  </si>
  <si>
    <t>https://item.taobao.com/item.htm?id=626384709746&amp;skuId=4934038281099</t>
  </si>
  <si>
    <t>杰锐微通旗舰店</t>
  </si>
  <si>
    <t>USB摄像头_1080P</t>
  </si>
  <si>
    <t>https://detail.tmall.com/item.htm?id=658336439677&amp;skuId=4747876349104</t>
  </si>
  <si>
    <t>USB摄像头_适配无畸变3.25mm焦距100度镜头</t>
  </si>
  <si>
    <t>https://detail.tmall.com/item.htm?id=667551614995&amp;skuId=4984718463985</t>
  </si>
  <si>
    <t>上海凯豪电线电缆</t>
  </si>
  <si>
    <t>0.3平方毫米线材_100m长度_黑色</t>
  </si>
  <si>
    <t>https://item.taobao.com/item.htm?id=575478995725&amp;skuId=3775114793012</t>
  </si>
  <si>
    <t>elecall旗舰店</t>
  </si>
  <si>
    <t>E2508管型端子_黑色(100个装)</t>
  </si>
  <si>
    <t>https://detail.tmall.com/item.htm?id=523300941522&amp;skuId=5145209079969</t>
  </si>
  <si>
    <t>E2508管型端子_红色(100个装)</t>
  </si>
  <si>
    <t>https://detail.tmall.com/item.htm?id=523300941522&amp;skuId=4931023561692</t>
  </si>
  <si>
    <t>晶凝峰芯达专卖店</t>
  </si>
  <si>
    <t>XH2.54_插接簧片(100个装)</t>
  </si>
  <si>
    <t>https://detail.tmall.com/item.htm?id=41586800103&amp;skuId=4973828213488</t>
  </si>
  <si>
    <t>橘易</t>
  </si>
  <si>
    <t>CH343_USB串口模块</t>
  </si>
  <si>
    <t>https://item.taobao.com/item.htm?id=781272048581&amp;skuId=5507569043535</t>
  </si>
  <si>
    <t>绿联数码旗舰店</t>
  </si>
  <si>
    <t>USB2.0延长线1m</t>
  </si>
  <si>
    <t>https://detail.tmall.com/item.htm?id=38926165525&amp;skuId=6186711490290</t>
  </si>
  <si>
    <t>orico旗舰店</t>
  </si>
  <si>
    <t>USB一拖三拓展坞</t>
  </si>
  <si>
    <t>https://item.taobao.com/item.htm?id=658654834040&amp;skuId=5143148725455</t>
  </si>
  <si>
    <t>深圳探木坊铝业</t>
  </si>
  <si>
    <t>铝型材_欧标2020L-1.5_长度304mm_1件</t>
  </si>
  <si>
    <t>https://item.taobao.com/item.htm?id=707146227727&amp;skuId=5138065850308</t>
  </si>
  <si>
    <t>铝型材_欧标2020L-1.5_长度315mm_2件</t>
  </si>
  <si>
    <t>铝型材_欧标2020L-1.5_长度264mm_2件</t>
  </si>
  <si>
    <t>铝型材_欧标2020L-1.5_长度79mm_1件</t>
  </si>
  <si>
    <t>铝型材_欧标2020L-1.5_长度56mm_2件</t>
  </si>
  <si>
    <t>铝型材_欧标2020L-1.5_长度132mm_1件</t>
  </si>
  <si>
    <t>铝型材_欧标2020L-1.5_长度99mm_2件</t>
  </si>
  <si>
    <t>铝型材_欧标2020L-1.5_长度100mm_2件</t>
  </si>
  <si>
    <t>铝型材_欧标2020L-1.5_长度186mm_1件</t>
  </si>
  <si>
    <t>铝型材_欧标2020L-1.5_长度450mm_2件</t>
  </si>
  <si>
    <t>铝型材紧固件_欧标2020L-1.5_直角角码</t>
  </si>
  <si>
    <t>https://item.taobao.com/item.htm?id=687965688085&amp;skuId=4907036397671</t>
  </si>
  <si>
    <t>铝型材紧固件_欧标2020L-1.5_转向角件</t>
  </si>
  <si>
    <t>https://item.taobao.com/item.htm?id=694506337343&amp;skuId=4932711441831</t>
  </si>
  <si>
    <t>用户AdoRobot</t>
  </si>
  <si>
    <t>三轴平面机械臂3D打印模型</t>
  </si>
  <si>
    <t>https://www.goofish.com/personal?userId=696934590</t>
  </si>
  <si>
    <t>佳为照明旗舰店</t>
  </si>
  <si>
    <t>12V灯带_带铝合金外壳和奶白色灯罩_暖白色_灯带长20cm_线长2m</t>
  </si>
  <si>
    <t>https://detail.tmall.com/item.htm?id=714886023769&amp;skuId=5169944318738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</si>
</sst>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0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522555535449&amp;skuId=5777387544698" TargetMode="External"/><Relationship Id="rId13" Type="http://schemas.openxmlformats.org/officeDocument/2006/relationships/hyperlink" Target="https://item.taobao.com/item.htm?id=545440281632" TargetMode="External"/><Relationship Id="rId18" Type="http://schemas.openxmlformats.org/officeDocument/2006/relationships/hyperlink" Target="https://item.taobao.com/item.htm?id=570459797098&amp;skuId=5935337974484" TargetMode="External"/><Relationship Id="rId3" Type="http://schemas.openxmlformats.org/officeDocument/2006/relationships/hyperlink" Target="https://item.taobao.com/item.htm?id=522555535449&amp;skuId=5777387544677" TargetMode="External"/><Relationship Id="rId21" Type="http://schemas.openxmlformats.org/officeDocument/2006/relationships/hyperlink" Target="https://item.taobao.com/item.htm?id=589242587984&amp;skuId=4021244136536" TargetMode="External"/><Relationship Id="rId7" Type="http://schemas.openxmlformats.org/officeDocument/2006/relationships/hyperlink" Target="https://item.taobao.com/item.htm?id=522555535449&amp;skuId=5777387544670" TargetMode="External"/><Relationship Id="rId12" Type="http://schemas.openxmlformats.org/officeDocument/2006/relationships/hyperlink" Target="https://item.taobao.com/item.htm?id=654107995926" TargetMode="External"/><Relationship Id="rId17" Type="http://schemas.openxmlformats.org/officeDocument/2006/relationships/hyperlink" Target="https://item.taobao.com/item.htm?id=570459797098&amp;skuId=5935337974486" TargetMode="External"/><Relationship Id="rId2" Type="http://schemas.openxmlformats.org/officeDocument/2006/relationships/hyperlink" Target="https://detail.tmall.com/item.htm?id=41307963557&amp;skuId=5352660439882" TargetMode="External"/><Relationship Id="rId16" Type="http://schemas.openxmlformats.org/officeDocument/2006/relationships/hyperlink" Target="https://item.taobao.com/item.htm?id=570459797098&amp;skuId=5935337974485" TargetMode="External"/><Relationship Id="rId20" Type="http://schemas.openxmlformats.org/officeDocument/2006/relationships/hyperlink" Target="https://item.taobao.com/item.htm?id=556796729366&amp;skuId=6130630902911" TargetMode="External"/><Relationship Id="rId1" Type="http://schemas.openxmlformats.org/officeDocument/2006/relationships/hyperlink" Target="https://item.taobao.com/item.htm?id=708135618778&amp;skuId=5980676298476" TargetMode="External"/><Relationship Id="rId6" Type="http://schemas.openxmlformats.org/officeDocument/2006/relationships/hyperlink" Target="https://item.taobao.com/item.htm?id=522555535449&amp;skuId=5777387544699" TargetMode="External"/><Relationship Id="rId11" Type="http://schemas.openxmlformats.org/officeDocument/2006/relationships/hyperlink" Target="https://item.taobao.com/item.htm?id=713359542163" TargetMode="External"/><Relationship Id="rId5" Type="http://schemas.openxmlformats.org/officeDocument/2006/relationships/hyperlink" Target="https://item.taobao.com/item.htm?id=522555535449&amp;skuId=5777387544671" TargetMode="External"/><Relationship Id="rId15" Type="http://schemas.openxmlformats.org/officeDocument/2006/relationships/hyperlink" Target="https://item.taobao.com/item.htm?id=526088038633&amp;skuId=5870421994575" TargetMode="External"/><Relationship Id="rId10" Type="http://schemas.openxmlformats.org/officeDocument/2006/relationships/hyperlink" Target="https://item.taobao.com/item.htm?id=522555535449&amp;skuId=5777387544697" TargetMode="External"/><Relationship Id="rId19" Type="http://schemas.openxmlformats.org/officeDocument/2006/relationships/hyperlink" Target="https://item.taobao.com/item.htm?id=568771505825&amp;skuId=6130758858580" TargetMode="External"/><Relationship Id="rId4" Type="http://schemas.openxmlformats.org/officeDocument/2006/relationships/hyperlink" Target="https://item.taobao.com/item.htm?id=522555535449&amp;skuId=5777387544705" TargetMode="External"/><Relationship Id="rId9" Type="http://schemas.openxmlformats.org/officeDocument/2006/relationships/hyperlink" Target="https://item.taobao.com/item.htm?id=522555535449&amp;skuId=5777387544669" TargetMode="External"/><Relationship Id="rId14" Type="http://schemas.openxmlformats.org/officeDocument/2006/relationships/hyperlink" Target="https://item.taobao.com/item.htm?id=526088038633&amp;skuId=587042199459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fish.com/item?id=996490925570" TargetMode="External"/><Relationship Id="rId2" Type="http://schemas.openxmlformats.org/officeDocument/2006/relationships/hyperlink" Target="https://shop596005788.taobao.com/" TargetMode="External"/><Relationship Id="rId1" Type="http://schemas.openxmlformats.org/officeDocument/2006/relationships/hyperlink" Target="https://www.jlc-3dp.cn/placeOrder?spm=3D.Homepage.icon1.1001" TargetMode="External"/><Relationship Id="rId4" Type="http://schemas.openxmlformats.org/officeDocument/2006/relationships/hyperlink" Target="https://detail.tmall.com/item.htm?id=853560984174&amp;skuId=620277263839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811245556140&amp;skuId=5674466479002" TargetMode="External"/><Relationship Id="rId2" Type="http://schemas.openxmlformats.org/officeDocument/2006/relationships/hyperlink" Target="https://item.taobao.com/item.htm?id=767987284614&amp;skuId=5296354469371" TargetMode="External"/><Relationship Id="rId1" Type="http://schemas.openxmlformats.org/officeDocument/2006/relationships/hyperlink" Target="https://item.taobao.com/item.htm?id=676436236906&amp;sku_properties=1627207%3A3538386286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45257012832&amp;skuId=4473671716068" TargetMode="External"/><Relationship Id="rId7" Type="http://schemas.openxmlformats.org/officeDocument/2006/relationships/hyperlink" Target="https://item.taobao.com/item.htm?id=626384709746&amp;skuId=4934038281099" TargetMode="External"/><Relationship Id="rId2" Type="http://schemas.openxmlformats.org/officeDocument/2006/relationships/hyperlink" Target="https://item.taobao.com/item.htm?id=770017789135&amp;skuId=5478339413663" TargetMode="External"/><Relationship Id="rId1" Type="http://schemas.openxmlformats.org/officeDocument/2006/relationships/hyperlink" Target="https://item.taobao.com/item.htm?id=45176939892&amp;skuId=4820009917609" TargetMode="External"/><Relationship Id="rId6" Type="http://schemas.openxmlformats.org/officeDocument/2006/relationships/hyperlink" Target="https://item.taobao.com/item.htm?id=650714392966&amp;skuId=4713871520670" TargetMode="External"/><Relationship Id="rId5" Type="http://schemas.openxmlformats.org/officeDocument/2006/relationships/hyperlink" Target="https://item.taobao.com/item.htm?id=639903956109&amp;skuId=4601479117245" TargetMode="External"/><Relationship Id="rId4" Type="http://schemas.openxmlformats.org/officeDocument/2006/relationships/hyperlink" Target="https://item.taobao.com/item.htm?id=582585891952&amp;skuId=3903184540519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etail.tmall.com/item.htm?id=667551614995&amp;skuId=4984718463985" TargetMode="External"/><Relationship Id="rId1" Type="http://schemas.openxmlformats.org/officeDocument/2006/relationships/hyperlink" Target="https://detail.tmall.com/item.htm?id=658336439677&amp;skuId=4747876349104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id=523300941522&amp;skuId=4931023561692" TargetMode="External"/><Relationship Id="rId2" Type="http://schemas.openxmlformats.org/officeDocument/2006/relationships/hyperlink" Target="https://detail.tmall.com/item.htm?id=523300941522&amp;skuId=5145209079969" TargetMode="External"/><Relationship Id="rId1" Type="http://schemas.openxmlformats.org/officeDocument/2006/relationships/hyperlink" Target="https://item.taobao.com/item.htm?id=575478995725&amp;skuId=3775114793012" TargetMode="External"/><Relationship Id="rId4" Type="http://schemas.openxmlformats.org/officeDocument/2006/relationships/hyperlink" Target="https://detail.tmall.com/item.htm?id=41586800103&amp;skuId=497382821348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658654834040&amp;skuId=5143148725455" TargetMode="External"/><Relationship Id="rId2" Type="http://schemas.openxmlformats.org/officeDocument/2006/relationships/hyperlink" Target="https://detail.tmall.com/item.htm?id=38926165525&amp;skuId=6186711490290" TargetMode="External"/><Relationship Id="rId1" Type="http://schemas.openxmlformats.org/officeDocument/2006/relationships/hyperlink" Target="https://item.taobao.com/item.htm?id=781272048581&amp;skuId=5507569043535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707146227727&amp;skuId=5138065850308" TargetMode="External"/><Relationship Id="rId13" Type="http://schemas.openxmlformats.org/officeDocument/2006/relationships/hyperlink" Target="https://www.goofish.com/personal?userId=696934590" TargetMode="External"/><Relationship Id="rId3" Type="http://schemas.openxmlformats.org/officeDocument/2006/relationships/hyperlink" Target="https://item.taobao.com/item.htm?id=707146227727&amp;skuId=5138065850308" TargetMode="External"/><Relationship Id="rId7" Type="http://schemas.openxmlformats.org/officeDocument/2006/relationships/hyperlink" Target="https://item.taobao.com/item.htm?id=707146227727&amp;skuId=5138065850308" TargetMode="External"/><Relationship Id="rId12" Type="http://schemas.openxmlformats.org/officeDocument/2006/relationships/hyperlink" Target="https://item.taobao.com/item.htm?id=694506337343&amp;skuId=4932711441831" TargetMode="External"/><Relationship Id="rId2" Type="http://schemas.openxmlformats.org/officeDocument/2006/relationships/hyperlink" Target="https://item.taobao.com/item.htm?id=707146227727&amp;skuId=5138065850308" TargetMode="External"/><Relationship Id="rId1" Type="http://schemas.openxmlformats.org/officeDocument/2006/relationships/hyperlink" Target="https://item.taobao.com/item.htm?id=707146227727&amp;skuId=5138065850308" TargetMode="External"/><Relationship Id="rId6" Type="http://schemas.openxmlformats.org/officeDocument/2006/relationships/hyperlink" Target="https://item.taobao.com/item.htm?id=707146227727&amp;skuId=5138065850308" TargetMode="External"/><Relationship Id="rId11" Type="http://schemas.openxmlformats.org/officeDocument/2006/relationships/hyperlink" Target="https://item.taobao.com/item.htm?id=687965688085&amp;skuId=4907036397671" TargetMode="External"/><Relationship Id="rId5" Type="http://schemas.openxmlformats.org/officeDocument/2006/relationships/hyperlink" Target="https://item.taobao.com/item.htm?id=707146227727&amp;skuId=5138065850308" TargetMode="External"/><Relationship Id="rId10" Type="http://schemas.openxmlformats.org/officeDocument/2006/relationships/hyperlink" Target="https://item.taobao.com/item.htm?id=707146227727&amp;skuId=5138065850308" TargetMode="External"/><Relationship Id="rId4" Type="http://schemas.openxmlformats.org/officeDocument/2006/relationships/hyperlink" Target="https://item.taobao.com/item.htm?id=707146227727&amp;skuId=5138065850308" TargetMode="External"/><Relationship Id="rId9" Type="http://schemas.openxmlformats.org/officeDocument/2006/relationships/hyperlink" Target="https://item.taobao.com/item.htm?id=707146227727&amp;skuId=5138065850308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id=714886023769&amp;skuId=51699443187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7" sqref="C7"/>
    </sheetView>
  </sheetViews>
  <sheetFormatPr defaultRowHeight="14.4" x14ac:dyDescent="0.25"/>
  <cols>
    <col min="1" max="1" width="15" customWidth="1"/>
    <col min="2" max="2" width="12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21</v>
      </c>
      <c r="C2" s="3">
        <f>SUM(PCB物料!F:F)</f>
        <v>58.52</v>
      </c>
    </row>
    <row r="3" spans="1:3" x14ac:dyDescent="0.25">
      <c r="A3" s="2" t="s">
        <v>4</v>
      </c>
      <c r="B3" s="3">
        <v>4</v>
      </c>
      <c r="C3" s="3">
        <f>SUM(象棋制作物料!F:F)</f>
        <v>254.09000000000003</v>
      </c>
    </row>
    <row r="4" spans="1:3" x14ac:dyDescent="0.25">
      <c r="A4" s="2" t="s">
        <v>5</v>
      </c>
      <c r="B4" s="3">
        <v>3</v>
      </c>
      <c r="C4" s="3">
        <f>SUM(控制器!F:F)</f>
        <v>152.97999999999999</v>
      </c>
    </row>
    <row r="5" spans="1:3" x14ac:dyDescent="0.25">
      <c r="A5" s="2" t="s">
        <v>6</v>
      </c>
      <c r="B5" s="3">
        <v>7</v>
      </c>
      <c r="C5" s="3">
        <f>SUM(运动!F:F)</f>
        <v>200.79</v>
      </c>
    </row>
    <row r="6" spans="1:3" x14ac:dyDescent="0.25">
      <c r="A6" s="2" t="s">
        <v>7</v>
      </c>
      <c r="B6" s="3">
        <v>2</v>
      </c>
      <c r="C6" s="3">
        <f>SUM(视觉!F:F)</f>
        <v>186</v>
      </c>
    </row>
    <row r="7" spans="1:3" x14ac:dyDescent="0.25">
      <c r="A7" s="2" t="s">
        <v>8</v>
      </c>
      <c r="B7" s="3">
        <v>4</v>
      </c>
      <c r="C7" s="3">
        <f>SUM(接线!F:F)</f>
        <v>39.64</v>
      </c>
    </row>
    <row r="8" spans="1:3" x14ac:dyDescent="0.25">
      <c r="A8" s="2" t="s">
        <v>9</v>
      </c>
      <c r="B8" s="3">
        <v>3</v>
      </c>
      <c r="C8" s="3">
        <f>SUM(通信!F:F)</f>
        <v>74.599999999999994</v>
      </c>
    </row>
    <row r="9" spans="1:3" x14ac:dyDescent="0.25">
      <c r="A9" s="2" t="s">
        <v>10</v>
      </c>
      <c r="B9" s="3">
        <v>13</v>
      </c>
      <c r="C9" s="3">
        <f>SUM(框架!F:F)</f>
        <v>670.73</v>
      </c>
    </row>
    <row r="10" spans="1:3" x14ac:dyDescent="0.25">
      <c r="A10" s="2" t="s">
        <v>11</v>
      </c>
      <c r="B10" s="3">
        <v>1</v>
      </c>
      <c r="C10" s="3">
        <f>SUM(灯源!F:F)</f>
        <v>12</v>
      </c>
    </row>
    <row r="11" spans="1:3" x14ac:dyDescent="0.25">
      <c r="A11" s="4" t="s">
        <v>12</v>
      </c>
      <c r="B11" s="5">
        <f>SUM(B2:B10)</f>
        <v>58</v>
      </c>
      <c r="C11" s="5">
        <f>SUM(C2:C10)</f>
        <v>1649.35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F1" sqref="F1:F1048576"/>
    </sheetView>
  </sheetViews>
  <sheetFormatPr defaultRowHeight="14.4" x14ac:dyDescent="0.25"/>
  <cols>
    <col min="1" max="1" width="8" customWidth="1"/>
    <col min="2" max="2" width="38.6640625" customWidth="1"/>
    <col min="3" max="3" width="40.44140625" customWidth="1"/>
    <col min="4" max="4" width="8" customWidth="1"/>
    <col min="5" max="5" width="12" customWidth="1"/>
    <col min="6" max="6" width="12" style="7" customWidth="1"/>
    <col min="7" max="7" width="78.88671875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3" t="s">
        <v>20</v>
      </c>
      <c r="B2" s="3" t="s">
        <v>21</v>
      </c>
      <c r="C2" s="3" t="s">
        <v>22</v>
      </c>
      <c r="D2" s="3">
        <v>1</v>
      </c>
      <c r="E2" s="3">
        <v>32.5</v>
      </c>
      <c r="F2" s="3">
        <v>32.5</v>
      </c>
      <c r="G2" s="6" t="s">
        <v>23</v>
      </c>
    </row>
    <row r="3" spans="1:7" x14ac:dyDescent="0.25">
      <c r="A3" s="3" t="s">
        <v>20</v>
      </c>
      <c r="B3" s="3" t="s">
        <v>24</v>
      </c>
      <c r="C3" s="3" t="s">
        <v>25</v>
      </c>
      <c r="D3" s="3">
        <v>2</v>
      </c>
      <c r="E3" s="3">
        <v>4.24</v>
      </c>
      <c r="F3" s="3">
        <v>8.48</v>
      </c>
      <c r="G3" s="6" t="s">
        <v>26</v>
      </c>
    </row>
    <row r="4" spans="1:7" x14ac:dyDescent="0.25">
      <c r="A4" s="3" t="s">
        <v>20</v>
      </c>
      <c r="B4" s="3" t="s">
        <v>27</v>
      </c>
      <c r="C4" s="3" t="s">
        <v>28</v>
      </c>
      <c r="D4" s="3">
        <v>1</v>
      </c>
      <c r="E4" s="3">
        <v>1.1000000000000001</v>
      </c>
      <c r="F4" s="3">
        <v>1.1000000000000001</v>
      </c>
      <c r="G4" s="6" t="s">
        <v>29</v>
      </c>
    </row>
    <row r="5" spans="1:7" x14ac:dyDescent="0.25">
      <c r="A5" s="3" t="s">
        <v>20</v>
      </c>
      <c r="B5" s="3" t="s">
        <v>27</v>
      </c>
      <c r="C5" s="3" t="s">
        <v>30</v>
      </c>
      <c r="D5" s="3">
        <v>1</v>
      </c>
      <c r="E5" s="3">
        <v>0.55000000000000004</v>
      </c>
      <c r="F5" s="3">
        <v>0.55000000000000004</v>
      </c>
      <c r="G5" s="6" t="s">
        <v>31</v>
      </c>
    </row>
    <row r="6" spans="1:7" x14ac:dyDescent="0.25">
      <c r="A6" s="3" t="s">
        <v>20</v>
      </c>
      <c r="B6" s="3" t="s">
        <v>27</v>
      </c>
      <c r="C6" s="3" t="s">
        <v>32</v>
      </c>
      <c r="D6" s="3">
        <v>1</v>
      </c>
      <c r="E6" s="3">
        <v>0.44</v>
      </c>
      <c r="F6" s="3">
        <v>0.44</v>
      </c>
      <c r="G6" s="6" t="s">
        <v>33</v>
      </c>
    </row>
    <row r="7" spans="1:7" x14ac:dyDescent="0.25">
      <c r="A7" s="3" t="s">
        <v>20</v>
      </c>
      <c r="B7" s="3" t="s">
        <v>27</v>
      </c>
      <c r="C7" s="3" t="s">
        <v>34</v>
      </c>
      <c r="D7" s="3">
        <v>1</v>
      </c>
      <c r="E7" s="3">
        <v>0.22</v>
      </c>
      <c r="F7" s="3">
        <v>0.22</v>
      </c>
      <c r="G7" s="6" t="s">
        <v>35</v>
      </c>
    </row>
    <row r="8" spans="1:7" x14ac:dyDescent="0.25">
      <c r="A8" s="3" t="s">
        <v>20</v>
      </c>
      <c r="B8" s="3" t="s">
        <v>27</v>
      </c>
      <c r="C8" s="3" t="s">
        <v>36</v>
      </c>
      <c r="D8" s="3">
        <v>1</v>
      </c>
      <c r="E8" s="3">
        <v>0.33</v>
      </c>
      <c r="F8" s="3">
        <v>0.33</v>
      </c>
      <c r="G8" s="6" t="s">
        <v>37</v>
      </c>
    </row>
    <row r="9" spans="1:7" x14ac:dyDescent="0.25">
      <c r="A9" s="3" t="s">
        <v>20</v>
      </c>
      <c r="B9" s="3" t="s">
        <v>27</v>
      </c>
      <c r="C9" s="3" t="s">
        <v>38</v>
      </c>
      <c r="D9" s="3">
        <v>1</v>
      </c>
      <c r="E9" s="3">
        <v>0.16</v>
      </c>
      <c r="F9" s="3">
        <v>0.16</v>
      </c>
      <c r="G9" s="6" t="s">
        <v>39</v>
      </c>
    </row>
    <row r="10" spans="1:7" x14ac:dyDescent="0.25">
      <c r="A10" s="3" t="s">
        <v>20</v>
      </c>
      <c r="B10" s="3" t="s">
        <v>27</v>
      </c>
      <c r="C10" s="3" t="s">
        <v>40</v>
      </c>
      <c r="D10" s="3">
        <v>1</v>
      </c>
      <c r="E10" s="3">
        <v>0.22</v>
      </c>
      <c r="F10" s="3">
        <v>0.22</v>
      </c>
      <c r="G10" s="6" t="s">
        <v>41</v>
      </c>
    </row>
    <row r="11" spans="1:7" x14ac:dyDescent="0.25">
      <c r="A11" s="3" t="s">
        <v>20</v>
      </c>
      <c r="B11" s="3" t="s">
        <v>27</v>
      </c>
      <c r="C11" s="3" t="s">
        <v>42</v>
      </c>
      <c r="D11" s="3">
        <v>1</v>
      </c>
      <c r="E11" s="3">
        <v>0.11</v>
      </c>
      <c r="F11" s="3">
        <v>0.11</v>
      </c>
      <c r="G11" s="6" t="s">
        <v>43</v>
      </c>
    </row>
    <row r="12" spans="1:7" x14ac:dyDescent="0.25">
      <c r="A12" s="3" t="s">
        <v>20</v>
      </c>
      <c r="B12" s="3" t="s">
        <v>27</v>
      </c>
      <c r="C12" s="3" t="s">
        <v>44</v>
      </c>
      <c r="D12" s="3">
        <v>1</v>
      </c>
      <c r="E12" s="3">
        <v>0.8</v>
      </c>
      <c r="F12" s="3">
        <v>0.8</v>
      </c>
      <c r="G12" s="6" t="s">
        <v>45</v>
      </c>
    </row>
    <row r="13" spans="1:7" x14ac:dyDescent="0.25">
      <c r="A13" s="3" t="s">
        <v>20</v>
      </c>
      <c r="B13" s="3" t="s">
        <v>27</v>
      </c>
      <c r="C13" s="3" t="s">
        <v>46</v>
      </c>
      <c r="D13" s="3">
        <v>4</v>
      </c>
      <c r="E13" s="3">
        <v>0.13</v>
      </c>
      <c r="F13" s="3">
        <v>0.52</v>
      </c>
      <c r="G13" s="6" t="s">
        <v>47</v>
      </c>
    </row>
    <row r="14" spans="1:7" x14ac:dyDescent="0.25">
      <c r="A14" s="3" t="s">
        <v>20</v>
      </c>
      <c r="B14" s="3" t="s">
        <v>27</v>
      </c>
      <c r="C14" s="3" t="s">
        <v>48</v>
      </c>
      <c r="D14" s="3">
        <v>1</v>
      </c>
      <c r="E14" s="3">
        <v>0.88</v>
      </c>
      <c r="F14" s="3">
        <v>0.88</v>
      </c>
      <c r="G14" s="6" t="s">
        <v>49</v>
      </c>
    </row>
    <row r="15" spans="1:7" x14ac:dyDescent="0.25">
      <c r="A15" s="3" t="s">
        <v>20</v>
      </c>
      <c r="B15" s="3" t="s">
        <v>27</v>
      </c>
      <c r="C15" s="3" t="s">
        <v>50</v>
      </c>
      <c r="D15" s="3">
        <v>1</v>
      </c>
      <c r="E15" s="3">
        <v>1.1000000000000001</v>
      </c>
      <c r="F15" s="3">
        <v>1.1000000000000001</v>
      </c>
      <c r="G15" s="6" t="s">
        <v>51</v>
      </c>
    </row>
    <row r="16" spans="1:7" x14ac:dyDescent="0.25">
      <c r="A16" s="3" t="s">
        <v>20</v>
      </c>
      <c r="B16" s="3" t="s">
        <v>27</v>
      </c>
      <c r="C16" s="3" t="s">
        <v>52</v>
      </c>
      <c r="D16" s="3">
        <v>1</v>
      </c>
      <c r="E16" s="3">
        <v>1.1000000000000001</v>
      </c>
      <c r="F16" s="3">
        <v>1.1000000000000001</v>
      </c>
      <c r="G16" s="6" t="s">
        <v>53</v>
      </c>
    </row>
    <row r="17" spans="1:7" x14ac:dyDescent="0.25">
      <c r="A17" s="3" t="s">
        <v>20</v>
      </c>
      <c r="B17" s="3" t="s">
        <v>27</v>
      </c>
      <c r="C17" s="3" t="s">
        <v>54</v>
      </c>
      <c r="D17" s="3">
        <v>1</v>
      </c>
      <c r="E17" s="3">
        <v>2.2000000000000002</v>
      </c>
      <c r="F17" s="3">
        <v>2.2000000000000002</v>
      </c>
      <c r="G17" s="6" t="s">
        <v>55</v>
      </c>
    </row>
    <row r="18" spans="1:7" x14ac:dyDescent="0.25">
      <c r="A18" s="3" t="s">
        <v>20</v>
      </c>
      <c r="B18" s="3" t="s">
        <v>27</v>
      </c>
      <c r="C18" s="3" t="s">
        <v>56</v>
      </c>
      <c r="D18" s="3">
        <v>1</v>
      </c>
      <c r="E18" s="3">
        <v>2.75</v>
      </c>
      <c r="F18" s="3">
        <v>2.75</v>
      </c>
      <c r="G18" s="6" t="s">
        <v>57</v>
      </c>
    </row>
    <row r="19" spans="1:7" x14ac:dyDescent="0.25">
      <c r="A19" s="3" t="s">
        <v>20</v>
      </c>
      <c r="B19" s="3" t="s">
        <v>27</v>
      </c>
      <c r="C19" s="3" t="s">
        <v>58</v>
      </c>
      <c r="D19" s="3">
        <v>1</v>
      </c>
      <c r="E19" s="3">
        <v>1.98</v>
      </c>
      <c r="F19" s="3">
        <v>1.98</v>
      </c>
      <c r="G19" s="6" t="s">
        <v>59</v>
      </c>
    </row>
    <row r="20" spans="1:7" x14ac:dyDescent="0.25">
      <c r="A20" s="3" t="s">
        <v>20</v>
      </c>
      <c r="B20" s="3" t="s">
        <v>27</v>
      </c>
      <c r="C20" s="3" t="s">
        <v>60</v>
      </c>
      <c r="D20" s="3">
        <v>1</v>
      </c>
      <c r="E20" s="3">
        <v>2.64</v>
      </c>
      <c r="F20" s="3">
        <v>2.64</v>
      </c>
      <c r="G20" s="6" t="s">
        <v>61</v>
      </c>
    </row>
    <row r="21" spans="1:7" x14ac:dyDescent="0.25">
      <c r="A21" s="3" t="s">
        <v>20</v>
      </c>
      <c r="B21" s="3" t="s">
        <v>27</v>
      </c>
      <c r="C21" s="3" t="s">
        <v>62</v>
      </c>
      <c r="D21" s="3">
        <v>1</v>
      </c>
      <c r="E21" s="3">
        <v>0.2</v>
      </c>
      <c r="F21" s="3">
        <v>0.2</v>
      </c>
      <c r="G21" s="6" t="s">
        <v>63</v>
      </c>
    </row>
    <row r="22" spans="1:7" x14ac:dyDescent="0.25">
      <c r="A22" s="3" t="s">
        <v>20</v>
      </c>
      <c r="B22" s="3" t="s">
        <v>64</v>
      </c>
      <c r="C22" s="3" t="s">
        <v>65</v>
      </c>
      <c r="D22" s="3">
        <v>1</v>
      </c>
      <c r="E22" s="3">
        <v>0.24</v>
      </c>
      <c r="F22" s="3">
        <v>0.24</v>
      </c>
      <c r="G22" s="6" t="s">
        <v>66</v>
      </c>
    </row>
  </sheetData>
  <phoneticPr fontId="5" type="noConversion"/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xr:uid="{00000000-0004-0000-0100-000009000000}"/>
    <hyperlink ref="G12" r:id="rId11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  <hyperlink ref="G17" r:id="rId16" xr:uid="{00000000-0004-0000-0100-00000F000000}"/>
    <hyperlink ref="G18" r:id="rId17" xr:uid="{00000000-0004-0000-0100-000010000000}"/>
    <hyperlink ref="G19" r:id="rId18" xr:uid="{00000000-0004-0000-0100-000011000000}"/>
    <hyperlink ref="G20" r:id="rId19" xr:uid="{00000000-0004-0000-0100-000012000000}"/>
    <hyperlink ref="G21" r:id="rId20" xr:uid="{00000000-0004-0000-0100-000013000000}"/>
    <hyperlink ref="G22" r:id="rId21" xr:uid="{00000000-0004-0000-0100-00001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C12" sqref="C12"/>
    </sheetView>
  </sheetViews>
  <sheetFormatPr defaultRowHeight="14.4" x14ac:dyDescent="0.25"/>
  <cols>
    <col min="1" max="1" width="8" customWidth="1"/>
    <col min="2" max="2" width="25" customWidth="1"/>
    <col min="3" max="3" width="35" customWidth="1"/>
    <col min="4" max="4" width="8" customWidth="1"/>
    <col min="5" max="5" width="12" customWidth="1"/>
    <col min="6" max="6" width="12" style="7" customWidth="1"/>
    <col min="7" max="7" width="66.33203125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3" t="s">
        <v>67</v>
      </c>
      <c r="B2" s="3" t="s">
        <v>68</v>
      </c>
      <c r="C2" s="3" t="s">
        <v>69</v>
      </c>
      <c r="D2" s="3">
        <v>1</v>
      </c>
      <c r="E2" s="3">
        <v>96.29</v>
      </c>
      <c r="F2" s="3">
        <v>96.29</v>
      </c>
      <c r="G2" s="6" t="s">
        <v>70</v>
      </c>
    </row>
    <row r="3" spans="1:7" x14ac:dyDescent="0.25">
      <c r="A3" s="3" t="s">
        <v>20</v>
      </c>
      <c r="B3" s="3" t="s">
        <v>71</v>
      </c>
      <c r="C3" s="3" t="s">
        <v>72</v>
      </c>
      <c r="D3" s="3">
        <v>1</v>
      </c>
      <c r="E3" s="3">
        <v>100</v>
      </c>
      <c r="F3" s="3">
        <v>100</v>
      </c>
      <c r="G3" s="6" t="s">
        <v>73</v>
      </c>
    </row>
    <row r="4" spans="1:7" x14ac:dyDescent="0.25">
      <c r="A4" s="3" t="s">
        <v>74</v>
      </c>
      <c r="B4" s="3" t="s">
        <v>75</v>
      </c>
      <c r="C4" s="3" t="s">
        <v>76</v>
      </c>
      <c r="D4" s="3">
        <v>1</v>
      </c>
      <c r="E4" s="3">
        <v>35</v>
      </c>
      <c r="F4" s="3">
        <v>35</v>
      </c>
      <c r="G4" s="6" t="s">
        <v>77</v>
      </c>
    </row>
    <row r="5" spans="1:7" x14ac:dyDescent="0.25">
      <c r="A5" s="3" t="s">
        <v>20</v>
      </c>
      <c r="B5" s="3" t="s">
        <v>78</v>
      </c>
      <c r="C5" s="3" t="s">
        <v>79</v>
      </c>
      <c r="D5" s="3">
        <v>1</v>
      </c>
      <c r="E5" s="3">
        <v>22.8</v>
      </c>
      <c r="F5" s="3">
        <v>22.8</v>
      </c>
      <c r="G5" s="6" t="s">
        <v>80</v>
      </c>
    </row>
  </sheetData>
  <phoneticPr fontId="5" type="noConversion"/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F1" sqref="F1:F1048576"/>
    </sheetView>
  </sheetViews>
  <sheetFormatPr defaultRowHeight="14.4" x14ac:dyDescent="0.25"/>
  <cols>
    <col min="1" max="1" width="8" customWidth="1"/>
    <col min="2" max="2" width="25" customWidth="1"/>
    <col min="3" max="3" width="35" customWidth="1"/>
    <col min="4" max="4" width="8" customWidth="1"/>
    <col min="5" max="5" width="12" customWidth="1"/>
    <col min="6" max="6" width="12" style="7" customWidth="1"/>
    <col min="7" max="7" width="81.44140625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3" t="s">
        <v>20</v>
      </c>
      <c r="B2" s="3" t="s">
        <v>81</v>
      </c>
      <c r="C2" s="3" t="s">
        <v>82</v>
      </c>
      <c r="D2" s="3">
        <v>1</v>
      </c>
      <c r="E2" s="3">
        <v>0</v>
      </c>
      <c r="F2" s="3">
        <v>0</v>
      </c>
      <c r="G2" s="6" t="s">
        <v>83</v>
      </c>
    </row>
    <row r="3" spans="1:7" x14ac:dyDescent="0.25">
      <c r="A3" s="3" t="s">
        <v>20</v>
      </c>
      <c r="B3" s="3" t="s">
        <v>84</v>
      </c>
      <c r="C3" s="3" t="s">
        <v>85</v>
      </c>
      <c r="D3" s="3">
        <v>1</v>
      </c>
      <c r="E3" s="3">
        <v>72.989999999999995</v>
      </c>
      <c r="F3" s="3">
        <v>72.989999999999995</v>
      </c>
      <c r="G3" s="6" t="s">
        <v>86</v>
      </c>
    </row>
    <row r="4" spans="1:7" x14ac:dyDescent="0.25">
      <c r="A4" s="3" t="s">
        <v>20</v>
      </c>
      <c r="B4" s="3" t="s">
        <v>84</v>
      </c>
      <c r="C4" s="3" t="s">
        <v>87</v>
      </c>
      <c r="D4" s="3">
        <v>1</v>
      </c>
      <c r="E4" s="3">
        <v>79.989999999999995</v>
      </c>
      <c r="F4" s="3">
        <v>79.989999999999995</v>
      </c>
      <c r="G4" s="6" t="s">
        <v>88</v>
      </c>
    </row>
  </sheetData>
  <phoneticPr fontId="5" type="noConversion"/>
  <hyperlinks>
    <hyperlink ref="G2" r:id="rId1" xr:uid="{00000000-0004-0000-0300-000000000000}"/>
    <hyperlink ref="G3" r:id="rId2" xr:uid="{00000000-0004-0000-0300-000001000000}"/>
    <hyperlink ref="G4" r:id="rId3" xr:uid="{00000000-0004-0000-0300-000002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F1" sqref="F1:F1048576"/>
    </sheetView>
  </sheetViews>
  <sheetFormatPr defaultRowHeight="14.4" x14ac:dyDescent="0.25"/>
  <cols>
    <col min="1" max="1" width="8" customWidth="1"/>
    <col min="2" max="2" width="32.5546875" customWidth="1"/>
    <col min="3" max="3" width="35" customWidth="1"/>
    <col min="4" max="4" width="8" customWidth="1"/>
    <col min="5" max="5" width="12" customWidth="1"/>
    <col min="6" max="6" width="12" style="7" customWidth="1"/>
    <col min="7" max="7" width="69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3" t="s">
        <v>20</v>
      </c>
      <c r="B2" s="3" t="s">
        <v>89</v>
      </c>
      <c r="C2" s="3" t="s">
        <v>90</v>
      </c>
      <c r="D2" s="3">
        <v>2</v>
      </c>
      <c r="E2" s="3">
        <v>24</v>
      </c>
      <c r="F2" s="3">
        <v>48</v>
      </c>
      <c r="G2" s="6" t="s">
        <v>91</v>
      </c>
    </row>
    <row r="3" spans="1:7" x14ac:dyDescent="0.25">
      <c r="A3" s="3" t="s">
        <v>20</v>
      </c>
      <c r="B3" s="3" t="s">
        <v>89</v>
      </c>
      <c r="C3" s="3" t="s">
        <v>92</v>
      </c>
      <c r="D3" s="3">
        <v>1</v>
      </c>
      <c r="E3" s="3">
        <v>40</v>
      </c>
      <c r="F3" s="3">
        <v>40</v>
      </c>
      <c r="G3" s="6" t="s">
        <v>93</v>
      </c>
    </row>
    <row r="4" spans="1:7" x14ac:dyDescent="0.25">
      <c r="A4" s="3" t="s">
        <v>20</v>
      </c>
      <c r="B4" s="3" t="s">
        <v>89</v>
      </c>
      <c r="C4" s="3" t="s">
        <v>94</v>
      </c>
      <c r="D4" s="3">
        <v>3</v>
      </c>
      <c r="E4" s="3">
        <v>30</v>
      </c>
      <c r="F4" s="3">
        <v>90</v>
      </c>
      <c r="G4" s="6" t="s">
        <v>95</v>
      </c>
    </row>
    <row r="5" spans="1:7" x14ac:dyDescent="0.25">
      <c r="A5" s="3" t="s">
        <v>20</v>
      </c>
      <c r="B5" s="3" t="s">
        <v>96</v>
      </c>
      <c r="C5" s="3" t="s">
        <v>97</v>
      </c>
      <c r="D5" s="3">
        <v>1</v>
      </c>
      <c r="E5" s="3">
        <v>5.5</v>
      </c>
      <c r="F5" s="3">
        <v>5.5</v>
      </c>
      <c r="G5" s="6" t="s">
        <v>98</v>
      </c>
    </row>
    <row r="6" spans="1:7" x14ac:dyDescent="0.25">
      <c r="A6" s="3" t="s">
        <v>20</v>
      </c>
      <c r="B6" s="3" t="s">
        <v>99</v>
      </c>
      <c r="C6" s="3" t="s">
        <v>100</v>
      </c>
      <c r="D6" s="3">
        <v>1</v>
      </c>
      <c r="E6" s="3">
        <v>6.69</v>
      </c>
      <c r="F6" s="3">
        <v>6.69</v>
      </c>
      <c r="G6" s="6" t="s">
        <v>101</v>
      </c>
    </row>
    <row r="7" spans="1:7" x14ac:dyDescent="0.25">
      <c r="A7" s="3" t="s">
        <v>20</v>
      </c>
      <c r="B7" s="3" t="s">
        <v>102</v>
      </c>
      <c r="C7" s="3" t="s">
        <v>103</v>
      </c>
      <c r="D7" s="3">
        <v>1</v>
      </c>
      <c r="E7" s="3">
        <v>3.6</v>
      </c>
      <c r="F7" s="3">
        <v>3.6</v>
      </c>
      <c r="G7" s="6" t="s">
        <v>104</v>
      </c>
    </row>
    <row r="8" spans="1:7" x14ac:dyDescent="0.25">
      <c r="A8" s="3" t="s">
        <v>20</v>
      </c>
      <c r="B8" s="3" t="s">
        <v>105</v>
      </c>
      <c r="C8" s="3" t="s">
        <v>106</v>
      </c>
      <c r="D8" s="3">
        <v>1</v>
      </c>
      <c r="E8" s="3">
        <v>7</v>
      </c>
      <c r="F8" s="3">
        <v>7</v>
      </c>
      <c r="G8" s="6" t="s">
        <v>107</v>
      </c>
    </row>
  </sheetData>
  <phoneticPr fontId="5" type="noConversion"/>
  <hyperlinks>
    <hyperlink ref="G2" r:id="rId1" xr:uid="{00000000-0004-0000-0400-000000000000}"/>
    <hyperlink ref="G3" r:id="rId2" xr:uid="{00000000-0004-0000-0400-000001000000}"/>
    <hyperlink ref="G4" r:id="rId3" xr:uid="{00000000-0004-0000-0400-000002000000}"/>
    <hyperlink ref="G5" r:id="rId4" xr:uid="{00000000-0004-0000-0400-000003000000}"/>
    <hyperlink ref="G6" r:id="rId5" xr:uid="{00000000-0004-0000-0400-000004000000}"/>
    <hyperlink ref="G7" r:id="rId6" xr:uid="{00000000-0004-0000-0400-000005000000}"/>
    <hyperlink ref="G8" r:id="rId7" xr:uid="{00000000-0004-0000-0400-000006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selection activeCell="F1" sqref="F1:F1048576"/>
    </sheetView>
  </sheetViews>
  <sheetFormatPr defaultRowHeight="14.4" x14ac:dyDescent="0.25"/>
  <cols>
    <col min="1" max="1" width="8" customWidth="1"/>
    <col min="2" max="2" width="25" customWidth="1"/>
    <col min="3" max="3" width="48" customWidth="1"/>
    <col min="4" max="4" width="8" customWidth="1"/>
    <col min="5" max="5" width="12" customWidth="1"/>
    <col min="6" max="6" width="12" style="7" customWidth="1"/>
    <col min="7" max="7" width="74.109375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3" t="s">
        <v>20</v>
      </c>
      <c r="B2" s="3" t="s">
        <v>108</v>
      </c>
      <c r="C2" s="3" t="s">
        <v>109</v>
      </c>
      <c r="D2" s="3">
        <v>1</v>
      </c>
      <c r="E2" s="3">
        <v>128</v>
      </c>
      <c r="F2" s="3">
        <v>128</v>
      </c>
      <c r="G2" s="6" t="s">
        <v>110</v>
      </c>
    </row>
    <row r="3" spans="1:7" x14ac:dyDescent="0.25">
      <c r="A3" s="3" t="s">
        <v>20</v>
      </c>
      <c r="B3" s="3" t="s">
        <v>108</v>
      </c>
      <c r="C3" s="3" t="s">
        <v>111</v>
      </c>
      <c r="D3" s="3">
        <v>1</v>
      </c>
      <c r="E3" s="3">
        <v>58</v>
      </c>
      <c r="F3" s="3">
        <v>58</v>
      </c>
      <c r="G3" s="6" t="s">
        <v>112</v>
      </c>
    </row>
  </sheetData>
  <phoneticPr fontId="5" type="noConversion"/>
  <hyperlinks>
    <hyperlink ref="G2" r:id="rId1" xr:uid="{00000000-0004-0000-0500-000000000000}"/>
    <hyperlink ref="G3" r:id="rId2" xr:uid="{00000000-0004-0000-0500-000001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F1" sqref="F1"/>
    </sheetView>
  </sheetViews>
  <sheetFormatPr defaultRowHeight="14.4" x14ac:dyDescent="0.25"/>
  <cols>
    <col min="1" max="1" width="8" customWidth="1"/>
    <col min="2" max="2" width="25" customWidth="1"/>
    <col min="3" max="3" width="35" customWidth="1"/>
    <col min="4" max="4" width="8" customWidth="1"/>
    <col min="5" max="5" width="12" customWidth="1"/>
    <col min="6" max="6" width="12" style="7" customWidth="1"/>
    <col min="7" max="7" width="80.77734375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3" t="s">
        <v>20</v>
      </c>
      <c r="B2" s="3" t="s">
        <v>113</v>
      </c>
      <c r="C2" s="3" t="s">
        <v>114</v>
      </c>
      <c r="D2" s="3">
        <v>1</v>
      </c>
      <c r="E2" s="3">
        <v>25.74</v>
      </c>
      <c r="F2" s="3">
        <v>25.74</v>
      </c>
      <c r="G2" s="6" t="s">
        <v>115</v>
      </c>
    </row>
    <row r="3" spans="1:7" x14ac:dyDescent="0.25">
      <c r="A3" s="3" t="s">
        <v>20</v>
      </c>
      <c r="B3" s="3" t="s">
        <v>116</v>
      </c>
      <c r="C3" s="3" t="s">
        <v>117</v>
      </c>
      <c r="D3" s="3">
        <v>1</v>
      </c>
      <c r="E3" s="3">
        <v>3.42</v>
      </c>
      <c r="F3" s="3">
        <v>3.42</v>
      </c>
      <c r="G3" s="6" t="s">
        <v>118</v>
      </c>
    </row>
    <row r="4" spans="1:7" x14ac:dyDescent="0.25">
      <c r="A4" s="3" t="s">
        <v>20</v>
      </c>
      <c r="B4" s="3" t="s">
        <v>116</v>
      </c>
      <c r="C4" s="3" t="s">
        <v>119</v>
      </c>
      <c r="D4" s="3">
        <v>1</v>
      </c>
      <c r="E4" s="3">
        <v>3.42</v>
      </c>
      <c r="F4" s="3">
        <v>3.42</v>
      </c>
      <c r="G4" s="6" t="s">
        <v>120</v>
      </c>
    </row>
    <row r="5" spans="1:7" x14ac:dyDescent="0.25">
      <c r="A5" s="3" t="s">
        <v>20</v>
      </c>
      <c r="B5" s="3" t="s">
        <v>121</v>
      </c>
      <c r="C5" s="3" t="s">
        <v>122</v>
      </c>
      <c r="D5" s="3">
        <v>2</v>
      </c>
      <c r="E5" s="3">
        <v>3.53</v>
      </c>
      <c r="F5" s="3">
        <v>7.06</v>
      </c>
      <c r="G5" s="6" t="s">
        <v>123</v>
      </c>
    </row>
  </sheetData>
  <phoneticPr fontId="5" type="noConversion"/>
  <hyperlinks>
    <hyperlink ref="G2" r:id="rId1" xr:uid="{00000000-0004-0000-0600-000000000000}"/>
    <hyperlink ref="G3" r:id="rId2" xr:uid="{00000000-0004-0000-0600-000001000000}"/>
    <hyperlink ref="G4" r:id="rId3" xr:uid="{00000000-0004-0000-0600-000002000000}"/>
    <hyperlink ref="G5" r:id="rId4" xr:uid="{00000000-0004-0000-0600-000003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>
      <selection activeCell="F1" sqref="F1:F1048576"/>
    </sheetView>
  </sheetViews>
  <sheetFormatPr defaultRowHeight="14.4" x14ac:dyDescent="0.25"/>
  <cols>
    <col min="1" max="1" width="8" customWidth="1"/>
    <col min="2" max="2" width="25" customWidth="1"/>
    <col min="3" max="3" width="35" customWidth="1"/>
    <col min="4" max="4" width="8" customWidth="1"/>
    <col min="5" max="5" width="12" customWidth="1"/>
    <col min="6" max="6" width="12" style="7" customWidth="1"/>
    <col min="7" max="7" width="82.109375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3" t="s">
        <v>20</v>
      </c>
      <c r="B2" s="3" t="s">
        <v>124</v>
      </c>
      <c r="C2" s="3" t="s">
        <v>125</v>
      </c>
      <c r="D2" s="3">
        <v>1</v>
      </c>
      <c r="E2" s="3">
        <v>14.9</v>
      </c>
      <c r="F2" s="3">
        <v>14.9</v>
      </c>
      <c r="G2" s="6" t="s">
        <v>126</v>
      </c>
    </row>
    <row r="3" spans="1:7" x14ac:dyDescent="0.25">
      <c r="A3" s="3" t="s">
        <v>20</v>
      </c>
      <c r="B3" s="3" t="s">
        <v>127</v>
      </c>
      <c r="C3" s="3" t="s">
        <v>128</v>
      </c>
      <c r="D3" s="3">
        <v>2</v>
      </c>
      <c r="E3" s="3">
        <v>14.9</v>
      </c>
      <c r="F3" s="3">
        <v>29.8</v>
      </c>
      <c r="G3" s="6" t="s">
        <v>129</v>
      </c>
    </row>
    <row r="4" spans="1:7" x14ac:dyDescent="0.25">
      <c r="A4" s="3" t="s">
        <v>20</v>
      </c>
      <c r="B4" s="3" t="s">
        <v>130</v>
      </c>
      <c r="C4" s="3" t="s">
        <v>131</v>
      </c>
      <c r="D4" s="3">
        <v>1</v>
      </c>
      <c r="E4" s="3">
        <v>29.9</v>
      </c>
      <c r="F4" s="3">
        <v>29.9</v>
      </c>
      <c r="G4" s="6" t="s">
        <v>132</v>
      </c>
    </row>
  </sheetData>
  <phoneticPr fontId="5" type="noConversion"/>
  <hyperlinks>
    <hyperlink ref="G2" r:id="rId1" xr:uid="{00000000-0004-0000-0700-000000000000}"/>
    <hyperlink ref="G3" r:id="rId2" xr:uid="{00000000-0004-0000-0700-000001000000}"/>
    <hyperlink ref="G4" r:id="rId3" xr:uid="{00000000-0004-0000-0700-000002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>
      <selection activeCell="F1" sqref="F1:F1048576"/>
    </sheetView>
  </sheetViews>
  <sheetFormatPr defaultRowHeight="14.4" x14ac:dyDescent="0.25"/>
  <cols>
    <col min="1" max="1" width="8" customWidth="1"/>
    <col min="2" max="2" width="25" customWidth="1"/>
    <col min="3" max="3" width="42.21875" customWidth="1"/>
    <col min="4" max="4" width="8" customWidth="1"/>
    <col min="5" max="5" width="12" customWidth="1"/>
    <col min="6" max="6" width="12" style="7" customWidth="1"/>
    <col min="7" max="7" width="81.5546875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3" t="s">
        <v>20</v>
      </c>
      <c r="B2" s="3" t="s">
        <v>133</v>
      </c>
      <c r="C2" s="3" t="s">
        <v>134</v>
      </c>
      <c r="D2" s="3">
        <v>1</v>
      </c>
      <c r="E2" s="3">
        <v>3.8</v>
      </c>
      <c r="F2" s="3">
        <v>3.8</v>
      </c>
      <c r="G2" s="6" t="s">
        <v>135</v>
      </c>
    </row>
    <row r="3" spans="1:7" x14ac:dyDescent="0.25">
      <c r="A3" s="3" t="s">
        <v>20</v>
      </c>
      <c r="B3" s="3" t="s">
        <v>133</v>
      </c>
      <c r="C3" s="3" t="s">
        <v>136</v>
      </c>
      <c r="D3" s="3">
        <v>1</v>
      </c>
      <c r="E3" s="3">
        <v>7.87</v>
      </c>
      <c r="F3" s="3">
        <v>7.87</v>
      </c>
      <c r="G3" s="6" t="s">
        <v>135</v>
      </c>
    </row>
    <row r="4" spans="1:7" x14ac:dyDescent="0.25">
      <c r="A4" s="3" t="s">
        <v>20</v>
      </c>
      <c r="B4" s="3" t="s">
        <v>133</v>
      </c>
      <c r="C4" s="3" t="s">
        <v>137</v>
      </c>
      <c r="D4" s="3">
        <v>1</v>
      </c>
      <c r="E4" s="3">
        <v>6.6</v>
      </c>
      <c r="F4" s="3">
        <v>6.6</v>
      </c>
      <c r="G4" s="6" t="s">
        <v>135</v>
      </c>
    </row>
    <row r="5" spans="1:7" x14ac:dyDescent="0.25">
      <c r="A5" s="3" t="s">
        <v>20</v>
      </c>
      <c r="B5" s="3" t="s">
        <v>133</v>
      </c>
      <c r="C5" s="3" t="s">
        <v>138</v>
      </c>
      <c r="D5" s="3">
        <v>1</v>
      </c>
      <c r="E5" s="3">
        <v>0.99</v>
      </c>
      <c r="F5" s="3">
        <v>0.99</v>
      </c>
      <c r="G5" s="6" t="s">
        <v>135</v>
      </c>
    </row>
    <row r="6" spans="1:7" x14ac:dyDescent="0.25">
      <c r="A6" s="3" t="s">
        <v>20</v>
      </c>
      <c r="B6" s="3" t="s">
        <v>133</v>
      </c>
      <c r="C6" s="3" t="s">
        <v>139</v>
      </c>
      <c r="D6" s="3">
        <v>1</v>
      </c>
      <c r="E6" s="3">
        <v>1.4</v>
      </c>
      <c r="F6" s="3">
        <v>1.4</v>
      </c>
      <c r="G6" s="6" t="s">
        <v>135</v>
      </c>
    </row>
    <row r="7" spans="1:7" x14ac:dyDescent="0.25">
      <c r="A7" s="3" t="s">
        <v>20</v>
      </c>
      <c r="B7" s="3" t="s">
        <v>133</v>
      </c>
      <c r="C7" s="3" t="s">
        <v>140</v>
      </c>
      <c r="D7" s="3">
        <v>1</v>
      </c>
      <c r="E7" s="3">
        <v>1.65</v>
      </c>
      <c r="F7" s="3">
        <v>1.65</v>
      </c>
      <c r="G7" s="6" t="s">
        <v>135</v>
      </c>
    </row>
    <row r="8" spans="1:7" x14ac:dyDescent="0.25">
      <c r="A8" s="3" t="s">
        <v>20</v>
      </c>
      <c r="B8" s="3" t="s">
        <v>133</v>
      </c>
      <c r="C8" s="3" t="s">
        <v>141</v>
      </c>
      <c r="D8" s="3">
        <v>1</v>
      </c>
      <c r="E8" s="3">
        <v>2.4700000000000002</v>
      </c>
      <c r="F8" s="3">
        <v>2.4700000000000002</v>
      </c>
      <c r="G8" s="6" t="s">
        <v>135</v>
      </c>
    </row>
    <row r="9" spans="1:7" x14ac:dyDescent="0.25">
      <c r="A9" s="3" t="s">
        <v>20</v>
      </c>
      <c r="B9" s="3" t="s">
        <v>133</v>
      </c>
      <c r="C9" s="3" t="s">
        <v>142</v>
      </c>
      <c r="D9" s="3">
        <v>1</v>
      </c>
      <c r="E9" s="3">
        <v>2.5</v>
      </c>
      <c r="F9" s="3">
        <v>2.5</v>
      </c>
      <c r="G9" s="6" t="s">
        <v>135</v>
      </c>
    </row>
    <row r="10" spans="1:7" x14ac:dyDescent="0.25">
      <c r="A10" s="3" t="s">
        <v>20</v>
      </c>
      <c r="B10" s="3" t="s">
        <v>133</v>
      </c>
      <c r="C10" s="3" t="s">
        <v>143</v>
      </c>
      <c r="D10" s="3">
        <v>1</v>
      </c>
      <c r="E10" s="3">
        <v>2.3199999999999998</v>
      </c>
      <c r="F10" s="3">
        <v>2.3199999999999998</v>
      </c>
      <c r="G10" s="6" t="s">
        <v>135</v>
      </c>
    </row>
    <row r="11" spans="1:7" x14ac:dyDescent="0.25">
      <c r="A11" s="3" t="s">
        <v>20</v>
      </c>
      <c r="B11" s="3" t="s">
        <v>133</v>
      </c>
      <c r="C11" s="3" t="s">
        <v>144</v>
      </c>
      <c r="D11" s="3">
        <v>1</v>
      </c>
      <c r="E11" s="3">
        <v>11.25</v>
      </c>
      <c r="F11" s="3">
        <v>11.25</v>
      </c>
      <c r="G11" s="6" t="s">
        <v>135</v>
      </c>
    </row>
    <row r="12" spans="1:7" x14ac:dyDescent="0.25">
      <c r="A12" s="3" t="s">
        <v>20</v>
      </c>
      <c r="B12" s="3" t="s">
        <v>133</v>
      </c>
      <c r="C12" s="3" t="s">
        <v>145</v>
      </c>
      <c r="D12" s="3">
        <v>28</v>
      </c>
      <c r="E12" s="3">
        <v>0.9</v>
      </c>
      <c r="F12" s="3">
        <v>25.2</v>
      </c>
      <c r="G12" s="6" t="s">
        <v>146</v>
      </c>
    </row>
    <row r="13" spans="1:7" x14ac:dyDescent="0.25">
      <c r="A13" s="3" t="s">
        <v>20</v>
      </c>
      <c r="B13" s="3" t="s">
        <v>133</v>
      </c>
      <c r="C13" s="3" t="s">
        <v>147</v>
      </c>
      <c r="D13" s="3">
        <v>3</v>
      </c>
      <c r="E13" s="3">
        <v>1.56</v>
      </c>
      <c r="F13" s="3">
        <v>4.68</v>
      </c>
      <c r="G13" s="6" t="s">
        <v>148</v>
      </c>
    </row>
    <row r="14" spans="1:7" x14ac:dyDescent="0.25">
      <c r="A14" s="3" t="s">
        <v>74</v>
      </c>
      <c r="B14" s="3" t="s">
        <v>149</v>
      </c>
      <c r="C14" s="3" t="s">
        <v>150</v>
      </c>
      <c r="D14" s="3">
        <v>1</v>
      </c>
      <c r="E14" s="3">
        <v>600</v>
      </c>
      <c r="F14" s="3">
        <v>600</v>
      </c>
      <c r="G14" s="6" t="s">
        <v>151</v>
      </c>
    </row>
  </sheetData>
  <phoneticPr fontId="5" type="noConversion"/>
  <hyperlinks>
    <hyperlink ref="G2" r:id="rId1" xr:uid="{00000000-0004-0000-0800-000000000000}"/>
    <hyperlink ref="G3" r:id="rId2" xr:uid="{00000000-0004-0000-0800-000001000000}"/>
    <hyperlink ref="G4" r:id="rId3" xr:uid="{00000000-0004-0000-0800-000002000000}"/>
    <hyperlink ref="G5" r:id="rId4" xr:uid="{00000000-0004-0000-0800-000003000000}"/>
    <hyperlink ref="G6" r:id="rId5" xr:uid="{00000000-0004-0000-0800-000004000000}"/>
    <hyperlink ref="G7" r:id="rId6" xr:uid="{00000000-0004-0000-0800-000005000000}"/>
    <hyperlink ref="G8" r:id="rId7" xr:uid="{00000000-0004-0000-0800-000006000000}"/>
    <hyperlink ref="G9" r:id="rId8" xr:uid="{00000000-0004-0000-0800-000007000000}"/>
    <hyperlink ref="G10" r:id="rId9" xr:uid="{00000000-0004-0000-0800-000008000000}"/>
    <hyperlink ref="G11" r:id="rId10" xr:uid="{00000000-0004-0000-0800-000009000000}"/>
    <hyperlink ref="G12" r:id="rId11" xr:uid="{00000000-0004-0000-0800-00000A000000}"/>
    <hyperlink ref="G13" r:id="rId12" xr:uid="{00000000-0004-0000-0800-00000B000000}"/>
    <hyperlink ref="G14" r:id="rId13" xr:uid="{00000000-0004-0000-0800-00000C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>
      <selection activeCell="F1" sqref="F1:F1048576"/>
    </sheetView>
  </sheetViews>
  <sheetFormatPr defaultRowHeight="14.4" x14ac:dyDescent="0.25"/>
  <cols>
    <col min="1" max="1" width="8" customWidth="1"/>
    <col min="2" max="2" width="25" customWidth="1"/>
    <col min="3" max="3" width="59.88671875" customWidth="1"/>
    <col min="4" max="4" width="8" customWidth="1"/>
    <col min="5" max="5" width="12" customWidth="1"/>
    <col min="6" max="6" width="12" style="7" customWidth="1"/>
    <col min="7" max="7" width="74.88671875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3" t="s">
        <v>20</v>
      </c>
      <c r="B2" s="3" t="s">
        <v>152</v>
      </c>
      <c r="C2" s="3" t="s">
        <v>153</v>
      </c>
      <c r="D2" s="3">
        <v>1</v>
      </c>
      <c r="E2" s="3">
        <v>12</v>
      </c>
      <c r="F2" s="3">
        <v>12</v>
      </c>
      <c r="G2" s="6" t="s">
        <v>154</v>
      </c>
    </row>
  </sheetData>
  <phoneticPr fontId="5" type="noConversion"/>
  <hyperlinks>
    <hyperlink ref="G2" r:id="rId1" xr:uid="{00000000-0004-0000-09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PCB物料</vt:lpstr>
      <vt:lpstr>象棋制作物料</vt:lpstr>
      <vt:lpstr>控制器</vt:lpstr>
      <vt:lpstr>运动</vt:lpstr>
      <vt:lpstr>视觉</vt:lpstr>
      <vt:lpstr>接线</vt:lpstr>
      <vt:lpstr>通信</vt:lpstr>
      <vt:lpstr>框架</vt:lpstr>
      <vt:lpstr>灯源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DengJie Yang</cp:lastModifiedBy>
  <dcterms:created xsi:type="dcterms:W3CDTF">2026-05-03T16:28:20Z</dcterms:created>
  <dcterms:modified xsi:type="dcterms:W3CDTF">2026-05-03T16:40:46Z</dcterms:modified>
</cp:coreProperties>
</file>